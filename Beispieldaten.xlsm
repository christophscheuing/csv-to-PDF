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2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christoph/Library/Mobile Documents/com~apple~CloudDocs/Akten/Arbter (Rechnungserstellung)/Code/"/>
    </mc:Choice>
  </mc:AlternateContent>
  <xr:revisionPtr revIDLastSave="0" documentId="13_ncr:1_{2CBD62E5-4483-B843-B795-FEF6AD890377}" xr6:coauthVersionLast="47" xr6:coauthVersionMax="47" xr10:uidLastSave="{00000000-0000-0000-0000-000000000000}"/>
  <bookViews>
    <workbookView xWindow="5480" yWindow="2360" windowWidth="27840" windowHeight="16740" xr2:uid="{7EF44E93-9D96-0049-80C2-EE3BF9378578}"/>
  </bookViews>
  <sheets>
    <sheet name="Tabelle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" i="1" l="1"/>
  <c r="S6" i="1" s="1"/>
  <c r="Q6" i="1"/>
  <c r="R6" i="1" a="1"/>
  <c r="R6" i="1"/>
  <c r="P7" i="1"/>
  <c r="Q7" i="1"/>
  <c r="R7" i="1" a="1"/>
  <c r="R7" i="1" s="1"/>
  <c r="U7" i="1" s="1"/>
  <c r="P8" i="1"/>
  <c r="U8" i="1" s="1"/>
  <c r="Q8" i="1"/>
  <c r="R8" i="1" a="1"/>
  <c r="R8" i="1"/>
  <c r="T8" i="1"/>
  <c r="P9" i="1"/>
  <c r="Q9" i="1"/>
  <c r="R9" i="1" a="1"/>
  <c r="R9" i="1" s="1"/>
  <c r="P10" i="1"/>
  <c r="T10" i="1" s="1"/>
  <c r="Q10" i="1"/>
  <c r="R10" i="1" a="1"/>
  <c r="R10" i="1"/>
  <c r="P4" i="1"/>
  <c r="Q4" i="1"/>
  <c r="R4" i="1" a="1"/>
  <c r="R4" i="1" s="1"/>
  <c r="P5" i="1"/>
  <c r="Q5" i="1"/>
  <c r="R3" i="1" a="1"/>
  <c r="R3" i="1" s="1"/>
  <c r="Q2" i="1"/>
  <c r="Q3" i="1"/>
  <c r="P3" i="1"/>
  <c r="S3" i="1" s="1"/>
  <c r="P2" i="1"/>
  <c r="R5" i="1" a="1"/>
  <c r="R2" i="1" a="1"/>
  <c r="S9" i="1" l="1"/>
  <c r="U9" i="1"/>
  <c r="T9" i="1"/>
  <c r="S7" i="1"/>
  <c r="S8" i="1"/>
  <c r="U6" i="1"/>
  <c r="T6" i="1"/>
  <c r="S10" i="1"/>
  <c r="T7" i="1"/>
  <c r="U10" i="1"/>
  <c r="R5" i="1"/>
  <c r="T5" i="1"/>
  <c r="T4" i="1"/>
  <c r="U4" i="1"/>
  <c r="S4" i="1"/>
  <c r="U5" i="1"/>
  <c r="S5" i="1"/>
  <c r="R2" i="1"/>
  <c r="S2" i="1" s="1"/>
  <c r="T3" i="1"/>
  <c r="U3" i="1"/>
  <c r="T2" i="1" l="1"/>
  <c r="U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<sst xmlns="http://schemas.openxmlformats.org/spreadsheetml/2006/main" count="98" uniqueCount="76">
  <si>
    <t>Lf. Nr.</t>
  </si>
  <si>
    <t>Az. TILP</t>
  </si>
  <si>
    <t>Anrede</t>
  </si>
  <si>
    <t>Vorname1</t>
  </si>
  <si>
    <t>Nachname1</t>
  </si>
  <si>
    <t>Anrede2</t>
  </si>
  <si>
    <t>Vorname2</t>
  </si>
  <si>
    <t>Nachname2</t>
  </si>
  <si>
    <t>Strasse</t>
  </si>
  <si>
    <t>PLZ</t>
  </si>
  <si>
    <t>Ort</t>
  </si>
  <si>
    <t>Land</t>
  </si>
  <si>
    <t>Streitwert Klage</t>
  </si>
  <si>
    <t>Gesamtstreitwert</t>
  </si>
  <si>
    <t>Gesamtrechnungsbetrag</t>
  </si>
  <si>
    <t>Anteil</t>
  </si>
  <si>
    <t>Einzelrechnungsbetrag</t>
  </si>
  <si>
    <t>Erhöhungsgebühr</t>
  </si>
  <si>
    <t>Zwischensumme</t>
  </si>
  <si>
    <t>Umsatzsteuer</t>
  </si>
  <si>
    <t>Summa</t>
  </si>
  <si>
    <t>Herrn</t>
  </si>
  <si>
    <t>Dr. Fritz</t>
  </si>
  <si>
    <t>Mustermann</t>
  </si>
  <si>
    <t>Frau</t>
  </si>
  <si>
    <t>Heidi</t>
  </si>
  <si>
    <t>Musterfrau</t>
  </si>
  <si>
    <t>Musterstr. 66</t>
  </si>
  <si>
    <t>Musterstadt</t>
  </si>
  <si>
    <t>D</t>
  </si>
  <si>
    <t>Marcus</t>
  </si>
  <si>
    <t>Kazyszka</t>
  </si>
  <si>
    <t>Franz-von-Kempis-Weg 8</t>
  </si>
  <si>
    <t>53332</t>
  </si>
  <si>
    <t>Bornheim</t>
  </si>
  <si>
    <t>Birgit</t>
  </si>
  <si>
    <t>Bäuerle</t>
  </si>
  <si>
    <t>Dieter</t>
  </si>
  <si>
    <t>Stuttgarter Straße 12/2</t>
  </si>
  <si>
    <t>71116</t>
  </si>
  <si>
    <t>Gärtringen</t>
  </si>
  <si>
    <t>Rechnungsnummer</t>
  </si>
  <si>
    <t>123/25</t>
  </si>
  <si>
    <t>124/25</t>
  </si>
  <si>
    <t>125/25</t>
  </si>
  <si>
    <t>126/25</t>
  </si>
  <si>
    <t>Joachim</t>
  </si>
  <si>
    <t>Rossa</t>
  </si>
  <si>
    <t>Gerhart-Hauptmann-Allee 10a</t>
  </si>
  <si>
    <t>17192</t>
  </si>
  <si>
    <t>Waren (Müritz)</t>
  </si>
  <si>
    <t>Dr. Leenhard</t>
  </si>
  <si>
    <t>Hörauf</t>
  </si>
  <si>
    <t>Uhlandstr. 3</t>
  </si>
  <si>
    <t>53879</t>
  </si>
  <si>
    <t>Euskirchen</t>
  </si>
  <si>
    <t>Steffen</t>
  </si>
  <si>
    <t>Hoffmann</t>
  </si>
  <si>
    <t>Im Brühl 21</t>
  </si>
  <si>
    <t>66130</t>
  </si>
  <si>
    <t>Saarbrücken</t>
  </si>
  <si>
    <t>Önder</t>
  </si>
  <si>
    <t>Sigan</t>
  </si>
  <si>
    <t>Illerstraße 46</t>
  </si>
  <si>
    <t>90451</t>
  </si>
  <si>
    <t>Nürnberg</t>
  </si>
  <si>
    <t>Sven</t>
  </si>
  <si>
    <t>Hommel</t>
  </si>
  <si>
    <t>Rosenholzweg 18</t>
  </si>
  <si>
    <t>04178</t>
  </si>
  <si>
    <t>Leipzig</t>
  </si>
  <si>
    <t>123/26</t>
  </si>
  <si>
    <t>124/26</t>
  </si>
  <si>
    <t>125/26</t>
  </si>
  <si>
    <t>126/26</t>
  </si>
  <si>
    <t>123/27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</si>
</sst>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%"/>
  </numFmts>
  <fonts count="4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1"/>
      <name val="MuktaMahee Regular"/>
      <family val="2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4" fontId="0" fillId="0" borderId="0" xfId="0" applyNumberFormat="1"/>
    <xf numFmtId="4" fontId="2" fillId="0" borderId="0" xfId="0" applyNumberFormat="1" applyFont="1"/>
    <xf numFmtId="164" fontId="0" fillId="0" borderId="0" xfId="1" applyNumberFormat="1" applyFont="1"/>
    <xf numFmtId="17" fontId="0" fillId="0" borderId="0" xfId="0" applyNumberFormat="1"/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1428D-DDDB-7D4B-BB15-27D1ED55EC2C}">
  <sheetPr codeName="Tabelle1"/>
  <dimension ref="A1:V10"/>
  <sheetViews>
    <sheetView tabSelected="1" topLeftCell="F1" workbookViewId="0">
      <selection activeCell="S15" sqref="S15"/>
    </sheetView>
  </sheetViews>
  <sheetFormatPr baseColWidth="10" defaultRowHeight="16"/>
  <cols>
    <col min="4" max="4" width="16.5" customWidth="1"/>
    <col min="13" max="13" width="20" customWidth="1"/>
    <col min="16" max="16" width="12.83203125" customWidth="1"/>
  </cols>
  <sheetData>
    <row r="1" spans="1:2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41</v>
      </c>
    </row>
    <row r="2" spans="1:22" ht="20">
      <c r="A2">
        <v>1</v>
      </c>
      <c r="B2">
        <v>14</v>
      </c>
      <c r="C2" t="s">
        <v>21</v>
      </c>
      <c r="D2" t="s">
        <v>22</v>
      </c>
      <c r="E2" t="s">
        <v>23</v>
      </c>
      <c r="F2" t="s">
        <v>24</v>
      </c>
      <c r="G2" t="s">
        <v>25</v>
      </c>
      <c r="H2" t="s">
        <v>26</v>
      </c>
      <c r="I2" t="s">
        <v>27</v>
      </c>
      <c r="J2">
        <v>12345</v>
      </c>
      <c r="K2" t="s">
        <v>28</v>
      </c>
      <c r="L2" t="s">
        <v>29</v>
      </c>
      <c r="M2" s="1">
        <v>50000</v>
      </c>
      <c r="N2" s="2">
        <v>48647579.990000002</v>
      </c>
      <c r="O2" s="1">
        <v>373618.2</v>
      </c>
      <c r="P2" s="3">
        <f>M2/N2</f>
        <v>1.0278003553368534E-3</v>
      </c>
      <c r="Q2">
        <f>M2/N2*O2</f>
        <v>384.00491872031557</v>
      </c>
      <c r="R2" cm="1">
        <f t="array" ref="R2">IF(ISBLANK(H2), 0, RVG(M2)*0.3)</f>
        <v>383.7</v>
      </c>
      <c r="S2">
        <f>P2*O2+R2</f>
        <v>767.70491872031562</v>
      </c>
      <c r="T2">
        <f>(P2*O2+R2)*0.19</f>
        <v>145.86393455685996</v>
      </c>
      <c r="U2">
        <f>(P2*O2+R2)*1.19</f>
        <v>913.56885327717555</v>
      </c>
      <c r="V2" s="4" t="s">
        <v>42</v>
      </c>
    </row>
    <row r="3" spans="1:22" ht="20">
      <c r="A3">
        <v>2</v>
      </c>
      <c r="B3">
        <v>14</v>
      </c>
      <c r="C3" t="s">
        <v>21</v>
      </c>
      <c r="D3" t="s">
        <v>22</v>
      </c>
      <c r="E3" t="s">
        <v>23</v>
      </c>
      <c r="I3" t="s">
        <v>27</v>
      </c>
      <c r="J3">
        <v>12345</v>
      </c>
      <c r="K3" t="s">
        <v>28</v>
      </c>
      <c r="L3" t="s">
        <v>29</v>
      </c>
      <c r="M3" s="1">
        <v>26123.23</v>
      </c>
      <c r="N3" s="2">
        <v>48647579.990000002</v>
      </c>
      <c r="O3" s="1">
        <v>373618.2</v>
      </c>
      <c r="P3" s="3">
        <f>M3/N3</f>
        <v>5.3698930153092694E-4</v>
      </c>
      <c r="Q3">
        <f>M3/N3*O3</f>
        <v>200.62897625724219</v>
      </c>
      <c r="R3" cm="1">
        <f t="array" ref="R3">IF(ISBLANK(H3), 0, RVG(M3)*0.3)</f>
        <v>0</v>
      </c>
      <c r="S3">
        <f>P3*O3+R3</f>
        <v>200.62897625724219</v>
      </c>
      <c r="T3">
        <f>(P3*O3+R3)*0.19</f>
        <v>38.119505488876015</v>
      </c>
      <c r="U3">
        <f>(P3*O3+R3)*1.19</f>
        <v>238.74848174611819</v>
      </c>
      <c r="V3" t="s">
        <v>43</v>
      </c>
    </row>
    <row r="4" spans="1:22" ht="20">
      <c r="A4">
        <v>16</v>
      </c>
      <c r="B4">
        <v>665</v>
      </c>
      <c r="C4" t="s">
        <v>21</v>
      </c>
      <c r="D4" t="s">
        <v>30</v>
      </c>
      <c r="E4" t="s">
        <v>31</v>
      </c>
      <c r="I4" t="s">
        <v>32</v>
      </c>
      <c r="J4" t="s">
        <v>33</v>
      </c>
      <c r="K4" t="s">
        <v>34</v>
      </c>
      <c r="L4" t="s">
        <v>29</v>
      </c>
      <c r="M4">
        <v>13922.27</v>
      </c>
      <c r="N4" s="2">
        <v>48647579.990000002</v>
      </c>
      <c r="O4" s="1">
        <v>373618.2</v>
      </c>
      <c r="P4" s="3">
        <f>M4/N4</f>
        <v>2.8618628106191226E-4</v>
      </c>
      <c r="Q4">
        <f>M4/N4*O4</f>
        <v>106.92440319504576</v>
      </c>
      <c r="R4" cm="1">
        <f t="array" ref="R4">IF(ISBLANK(H4), 0, RVG(M4)*0.3)</f>
        <v>0</v>
      </c>
      <c r="S4">
        <f>P4*O4+R4</f>
        <v>106.92440319504576</v>
      </c>
      <c r="T4">
        <f>(P4*O4+R4)*0.19</f>
        <v>20.315636607058693</v>
      </c>
      <c r="U4">
        <f>(P4*O4+R4)*1.19</f>
        <v>127.24003980210445</v>
      </c>
      <c r="V4" t="s">
        <v>44</v>
      </c>
    </row>
    <row r="5" spans="1:22" ht="20">
      <c r="A5">
        <v>17</v>
      </c>
      <c r="B5">
        <v>750</v>
      </c>
      <c r="C5" t="s">
        <v>24</v>
      </c>
      <c r="D5" t="s">
        <v>35</v>
      </c>
      <c r="E5" t="s">
        <v>36</v>
      </c>
      <c r="F5" t="s">
        <v>21</v>
      </c>
      <c r="G5" t="s">
        <v>37</v>
      </c>
      <c r="H5" t="s">
        <v>36</v>
      </c>
      <c r="I5" t="s">
        <v>38</v>
      </c>
      <c r="J5" t="s">
        <v>39</v>
      </c>
      <c r="K5" t="s">
        <v>40</v>
      </c>
      <c r="L5" t="s">
        <v>29</v>
      </c>
      <c r="M5">
        <v>3678.28</v>
      </c>
      <c r="N5" s="2">
        <v>48647579.990000002</v>
      </c>
      <c r="O5" s="1">
        <v>373618.2</v>
      </c>
      <c r="P5" s="3">
        <f>M5/N5</f>
        <v>7.5610749820568824E-5</v>
      </c>
      <c r="Q5">
        <f>M5/N5*O5</f>
        <v>28.249552248611248</v>
      </c>
      <c r="R5" cm="1">
        <f t="array" ref="R5">IF(ISBLANK(H5), 0, RVG(M5)*0.3)</f>
        <v>83.399999999999991</v>
      </c>
      <c r="S5">
        <f>P5*O5+R5</f>
        <v>111.64955224861124</v>
      </c>
      <c r="T5">
        <f>(P5*O5+R5)*0.19</f>
        <v>21.213414927236137</v>
      </c>
      <c r="U5">
        <f>(P5*O5+R5)*1.19</f>
        <v>132.86296717584739</v>
      </c>
      <c r="V5" t="s">
        <v>45</v>
      </c>
    </row>
    <row r="6" spans="1:22" ht="20">
      <c r="A6">
        <v>4</v>
      </c>
      <c r="B6">
        <v>119</v>
      </c>
      <c r="C6" t="s">
        <v>21</v>
      </c>
      <c r="D6" t="s">
        <v>46</v>
      </c>
      <c r="E6" t="s">
        <v>47</v>
      </c>
      <c r="I6" t="s">
        <v>48</v>
      </c>
      <c r="J6" t="s">
        <v>49</v>
      </c>
      <c r="K6" t="s">
        <v>50</v>
      </c>
      <c r="L6" t="s">
        <v>29</v>
      </c>
      <c r="M6">
        <v>92397.119999999995</v>
      </c>
      <c r="N6" s="2">
        <v>48647579.990000002</v>
      </c>
      <c r="O6" s="1">
        <v>373618.2</v>
      </c>
      <c r="P6" s="3">
        <f t="shared" ref="P6:P10" si="0">M6/N6</f>
        <v>1.8993158553620374E-3</v>
      </c>
      <c r="Q6">
        <f t="shared" ref="Q6:Q10" si="1">M6/N6*O6</f>
        <v>709.61897111182475</v>
      </c>
      <c r="R6" cm="1">
        <f t="array" ref="R6">IF(ISBLANK(H6), 0, RVG(M6)*0.3)</f>
        <v>0</v>
      </c>
      <c r="S6">
        <f t="shared" ref="S6:S10" si="2">P6*O6+R6</f>
        <v>709.61897111182475</v>
      </c>
      <c r="T6">
        <f t="shared" ref="T6:T10" si="3">(P6*O6+R6)*0.19</f>
        <v>134.8276045112467</v>
      </c>
      <c r="U6">
        <f t="shared" ref="U6:U10" si="4">(P6*O6+R6)*1.19</f>
        <v>844.44657562307145</v>
      </c>
      <c r="V6" s="4" t="s">
        <v>71</v>
      </c>
    </row>
    <row r="7" spans="1:22" ht="20">
      <c r="A7">
        <v>5</v>
      </c>
      <c r="B7">
        <v>120</v>
      </c>
      <c r="C7" t="s">
        <v>21</v>
      </c>
      <c r="D7" t="s">
        <v>51</v>
      </c>
      <c r="E7" t="s">
        <v>52</v>
      </c>
      <c r="I7" t="s">
        <v>53</v>
      </c>
      <c r="J7" t="s">
        <v>54</v>
      </c>
      <c r="K7" t="s">
        <v>55</v>
      </c>
      <c r="L7" t="s">
        <v>29</v>
      </c>
      <c r="M7">
        <v>1589.56</v>
      </c>
      <c r="N7" s="2">
        <v>48647579.990000002</v>
      </c>
      <c r="O7" s="1">
        <v>373618.2</v>
      </c>
      <c r="P7" s="3">
        <f t="shared" si="0"/>
        <v>3.2675006656584973E-5</v>
      </c>
      <c r="Q7">
        <f t="shared" si="1"/>
        <v>12.207977172021296</v>
      </c>
      <c r="R7" cm="1">
        <f t="array" ref="R7">IF(ISBLANK(H7), 0, RVG(M7)*0.3)</f>
        <v>0</v>
      </c>
      <c r="S7">
        <f t="shared" si="2"/>
        <v>12.207977172021296</v>
      </c>
      <c r="T7">
        <f t="shared" si="3"/>
        <v>2.3195156626840463</v>
      </c>
      <c r="U7">
        <f t="shared" si="4"/>
        <v>14.527492834705342</v>
      </c>
      <c r="V7" t="s">
        <v>72</v>
      </c>
    </row>
    <row r="8" spans="1:22" ht="20">
      <c r="A8">
        <v>6</v>
      </c>
      <c r="B8">
        <v>154</v>
      </c>
      <c r="C8" t="s">
        <v>21</v>
      </c>
      <c r="D8" t="s">
        <v>56</v>
      </c>
      <c r="E8" t="s">
        <v>57</v>
      </c>
      <c r="I8" t="s">
        <v>58</v>
      </c>
      <c r="J8" t="s">
        <v>59</v>
      </c>
      <c r="K8" t="s">
        <v>60</v>
      </c>
      <c r="L8" t="s">
        <v>29</v>
      </c>
      <c r="M8">
        <v>26179.563999999998</v>
      </c>
      <c r="N8" s="2">
        <v>48647579.990000002</v>
      </c>
      <c r="O8" s="1">
        <v>373618.2</v>
      </c>
      <c r="P8" s="3">
        <f t="shared" si="0"/>
        <v>5.3814730363527783E-4</v>
      </c>
      <c r="Q8">
        <f t="shared" si="1"/>
        <v>201.06162691906596</v>
      </c>
      <c r="R8" cm="1">
        <f t="array" ref="R8">IF(ISBLANK(H8), 0, RVG(M8)*0.3)</f>
        <v>0</v>
      </c>
      <c r="S8">
        <f t="shared" si="2"/>
        <v>201.06162691906596</v>
      </c>
      <c r="T8">
        <f t="shared" si="3"/>
        <v>38.201709114622531</v>
      </c>
      <c r="U8">
        <f t="shared" si="4"/>
        <v>239.26333603368849</v>
      </c>
      <c r="V8" t="s">
        <v>73</v>
      </c>
    </row>
    <row r="9" spans="1:22" ht="20">
      <c r="A9">
        <v>7</v>
      </c>
      <c r="B9">
        <v>167</v>
      </c>
      <c r="C9" t="s">
        <v>21</v>
      </c>
      <c r="D9" t="s">
        <v>61</v>
      </c>
      <c r="E9" t="s">
        <v>62</v>
      </c>
      <c r="I9" t="s">
        <v>63</v>
      </c>
      <c r="J9" t="s">
        <v>64</v>
      </c>
      <c r="K9" t="s">
        <v>65</v>
      </c>
      <c r="L9" t="s">
        <v>29</v>
      </c>
      <c r="M9">
        <v>69876.936000000002</v>
      </c>
      <c r="N9" s="2">
        <v>48647579.990000002</v>
      </c>
      <c r="O9" s="1">
        <v>373618.2</v>
      </c>
      <c r="P9" s="3">
        <f t="shared" si="0"/>
        <v>1.4363907930130112E-3</v>
      </c>
      <c r="Q9">
        <f t="shared" si="1"/>
        <v>536.66174258209389</v>
      </c>
      <c r="R9" cm="1">
        <f t="array" ref="R9">IF(ISBLANK(H9), 0, RVG(M9)*0.3)</f>
        <v>0</v>
      </c>
      <c r="S9">
        <f t="shared" si="2"/>
        <v>536.66174258209389</v>
      </c>
      <c r="T9">
        <f t="shared" si="3"/>
        <v>101.96573109059784</v>
      </c>
      <c r="U9">
        <f t="shared" si="4"/>
        <v>638.62747367269174</v>
      </c>
      <c r="V9" t="s">
        <v>74</v>
      </c>
    </row>
    <row r="10" spans="1:22" ht="20">
      <c r="A10">
        <v>8</v>
      </c>
      <c r="B10">
        <v>248</v>
      </c>
      <c r="C10" t="s">
        <v>21</v>
      </c>
      <c r="D10" t="s">
        <v>66</v>
      </c>
      <c r="E10" t="s">
        <v>67</v>
      </c>
      <c r="I10" t="s">
        <v>68</v>
      </c>
      <c r="J10" t="s">
        <v>69</v>
      </c>
      <c r="K10" t="s">
        <v>70</v>
      </c>
      <c r="L10" t="s">
        <v>29</v>
      </c>
      <c r="M10">
        <v>40865.17</v>
      </c>
      <c r="N10" s="2">
        <v>48647579.990000002</v>
      </c>
      <c r="O10" s="1">
        <v>373618.2</v>
      </c>
      <c r="P10" s="3">
        <f t="shared" si="0"/>
        <v>8.4002472493801834E-4</v>
      </c>
      <c r="Q10">
        <f t="shared" si="1"/>
        <v>313.84852568683755</v>
      </c>
      <c r="R10" cm="1">
        <f t="array" ref="R10">IF(ISBLANK(H10), 0, RVG(M10)*0.3)</f>
        <v>0</v>
      </c>
      <c r="S10">
        <f t="shared" si="2"/>
        <v>313.84852568683755</v>
      </c>
      <c r="T10">
        <f t="shared" si="3"/>
        <v>59.631219880499131</v>
      </c>
      <c r="U10">
        <f t="shared" si="4"/>
        <v>373.47974556733669</v>
      </c>
      <c r="V10" s="4" t="s">
        <v>75</v>
      </c>
    </row>
  </sheetData>
  <phoneticPr fontId="3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lawlink | Christoph Scheuing</dc:creator>
  <cp:lastModifiedBy>lawlink | Christoph Scheuing</cp:lastModifiedBy>
  <dcterms:created xsi:type="dcterms:W3CDTF">2025-11-27T22:13:20Z</dcterms:created>
  <dcterms:modified xsi:type="dcterms:W3CDTF">2025-11-27T23:52:12Z</dcterms:modified>
</cp:coreProperties>
</file>